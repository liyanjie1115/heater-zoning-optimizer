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ythonProject1\"/>
    </mc:Choice>
  </mc:AlternateContent>
  <xr:revisionPtr revIDLastSave="0" documentId="13_ncr:1_{EEBD7F2A-09DE-4365-82FC-E2E1424C3041}" xr6:coauthVersionLast="47" xr6:coauthVersionMax="47" xr10:uidLastSave="{00000000-0000-0000-0000-000000000000}"/>
  <bookViews>
    <workbookView xWindow="-120" yWindow="-120" windowWidth="28110" windowHeight="16440" activeTab="4" xr2:uid="{00000000-000D-0000-FFFF-FFFF00000000}"/>
  </bookViews>
  <sheets>
    <sheet name="原始数据" sheetId="1" r:id="rId1"/>
    <sheet name="等距分区结果" sheetId="2" r:id="rId2"/>
    <sheet name="模块对齐分区结果" sheetId="3" r:id="rId3"/>
    <sheet name="等距分区三点" sheetId="4" r:id="rId4"/>
    <sheet name="模块对齐分区三点" sheetId="5" r:id="rId5"/>
    <sheet name="评价指标" sheetId="6" r:id="rId6"/>
  </sheets>
  <definedNames>
    <definedName name="_xlnm._FilterDatabase" localSheetId="1" hidden="1">等距分区结果!$A$1:$N$9</definedName>
    <definedName name="_xlnm._FilterDatabase" localSheetId="3" hidden="1">等距分区三点!$A$1:$H$25</definedName>
    <definedName name="_xlnm._FilterDatabase" localSheetId="2" hidden="1">模块对齐分区结果!$A$1:$N$9</definedName>
    <definedName name="_xlnm._FilterDatabase" localSheetId="4" hidden="1">模块对齐分区三点!$A$1:$H$25</definedName>
    <definedName name="_xlnm._FilterDatabase" localSheetId="5" hidden="1">评价指标!$A$1:$K$3</definedName>
    <definedName name="_xlnm._FilterDatabase" localSheetId="0" hidden="1">原始数据!$A$1:$B$31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5" l="1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</calcChain>
</file>

<file path=xl/sharedStrings.xml><?xml version="1.0" encoding="utf-8"?>
<sst xmlns="http://schemas.openxmlformats.org/spreadsheetml/2006/main" count="171" uniqueCount="35">
  <si>
    <t>距离_mm</t>
  </si>
  <si>
    <t>温度_℃</t>
  </si>
  <si>
    <t>方法</t>
  </si>
  <si>
    <t>分区编号</t>
  </si>
  <si>
    <t>起点_mm</t>
  </si>
  <si>
    <t>终点_mm</t>
  </si>
  <si>
    <t>中点_mm</t>
  </si>
  <si>
    <t>中点温度_℃</t>
  </si>
  <si>
    <t>分区长度_mm</t>
  </si>
  <si>
    <t>模块数</t>
  </si>
  <si>
    <t>单模块长度_mm</t>
  </si>
  <si>
    <t>模块间距_mm</t>
  </si>
  <si>
    <t>模块本体总长度_mm</t>
  </si>
  <si>
    <t>总间距长度_mm</t>
  </si>
  <si>
    <t>安装占位长度_mm</t>
  </si>
  <si>
    <t>分区平均温度_℃</t>
  </si>
  <si>
    <t>等距分区</t>
  </si>
  <si>
    <t>模块对齐分区</t>
  </si>
  <si>
    <t>点位名称</t>
  </si>
  <si>
    <t>坐标_mm</t>
  </si>
  <si>
    <t>分区起点_mm</t>
  </si>
  <si>
    <t>分区终点_mm</t>
  </si>
  <si>
    <t>左点</t>
  </si>
  <si>
    <t>中点</t>
  </si>
  <si>
    <t>右点</t>
  </si>
  <si>
    <t>E_fit</t>
  </si>
  <si>
    <t>E_sep</t>
  </si>
  <si>
    <t>尺寸合规率</t>
  </si>
  <si>
    <t>安装长度误差</t>
  </si>
  <si>
    <t>均衡性</t>
  </si>
  <si>
    <t>综合得分</t>
  </si>
  <si>
    <t>总模块数</t>
  </si>
  <si>
    <t>总安装占位长度</t>
  </si>
  <si>
    <t>总模块本体长度</t>
  </si>
  <si>
    <t>总间距长度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</si>
</sst>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"/>
    <numFmt numFmtId="177" formatCode="0.0000"/>
    <numFmt numFmtId="185" formatCode="0.00;[Red]0.00"/>
    <numFmt numFmtId="186" formatCode="0.00_ 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color rgb="FF000000"/>
      <name val="宋体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85" fontId="0" fillId="0" borderId="0" xfId="0" applyNumberFormat="1"/>
    <xf numFmtId="185" fontId="2" fillId="2" borderId="0" xfId="0" applyNumberFormat="1" applyFont="1" applyFill="1" applyBorder="1" applyAlignment="1">
      <alignment horizontal="center" vertical="center"/>
    </xf>
    <xf numFmtId="185" fontId="0" fillId="0" borderId="0" xfId="0" applyNumberFormat="1" applyBorder="1" applyAlignment="1">
      <alignment horizontal="center" vertical="center"/>
    </xf>
    <xf numFmtId="186" fontId="0" fillId="0" borderId="0" xfId="0" applyNumberFormat="1"/>
    <xf numFmtId="186" fontId="0" fillId="0" borderId="0" xfId="0" applyNumberForma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原始数据!$A$2:$A$31</c:f>
              <c:numCache>
                <c:formatCode>0.000</c:formatCode>
                <c:ptCount val="30"/>
                <c:pt idx="0">
                  <c:v>0</c:v>
                </c:pt>
                <c:pt idx="1">
                  <c:v>0.83309999999999995</c:v>
                </c:pt>
                <c:pt idx="2">
                  <c:v>3.6806999999999999</c:v>
                </c:pt>
                <c:pt idx="3">
                  <c:v>13.802</c:v>
                </c:pt>
                <c:pt idx="4">
                  <c:v>25.178999999999998</c:v>
                </c:pt>
                <c:pt idx="5">
                  <c:v>35.494999999999997</c:v>
                </c:pt>
                <c:pt idx="6">
                  <c:v>46.017699999999998</c:v>
                </c:pt>
                <c:pt idx="7">
                  <c:v>57.06</c:v>
                </c:pt>
                <c:pt idx="8">
                  <c:v>67.392399999999995</c:v>
                </c:pt>
                <c:pt idx="9">
                  <c:v>84.392499999999998</c:v>
                </c:pt>
                <c:pt idx="10">
                  <c:v>101.9415</c:v>
                </c:pt>
                <c:pt idx="11">
                  <c:v>121.0518</c:v>
                </c:pt>
                <c:pt idx="12">
                  <c:v>140.78039999999999</c:v>
                </c:pt>
                <c:pt idx="13">
                  <c:v>160.96639999999999</c:v>
                </c:pt>
                <c:pt idx="14">
                  <c:v>181.626</c:v>
                </c:pt>
                <c:pt idx="15">
                  <c:v>202.95099999999999</c:v>
                </c:pt>
                <c:pt idx="16">
                  <c:v>225.05799999999999</c:v>
                </c:pt>
                <c:pt idx="17">
                  <c:v>247.048</c:v>
                </c:pt>
                <c:pt idx="18">
                  <c:v>271.291</c:v>
                </c:pt>
                <c:pt idx="19">
                  <c:v>295.39400000000001</c:v>
                </c:pt>
                <c:pt idx="20">
                  <c:v>320.12400000000002</c:v>
                </c:pt>
                <c:pt idx="21">
                  <c:v>344.07299999999998</c:v>
                </c:pt>
                <c:pt idx="22">
                  <c:v>358.60199999999998</c:v>
                </c:pt>
                <c:pt idx="23">
                  <c:v>387.36700000000002</c:v>
                </c:pt>
                <c:pt idx="24">
                  <c:v>421.06200000000001</c:v>
                </c:pt>
                <c:pt idx="25">
                  <c:v>438.69</c:v>
                </c:pt>
                <c:pt idx="26">
                  <c:v>453.24</c:v>
                </c:pt>
                <c:pt idx="27">
                  <c:v>469.33800000000002</c:v>
                </c:pt>
                <c:pt idx="28">
                  <c:v>485.67</c:v>
                </c:pt>
                <c:pt idx="29">
                  <c:v>500</c:v>
                </c:pt>
              </c:numCache>
            </c:numRef>
          </c:xVal>
          <c:yVal>
            <c:numRef>
              <c:f>原始数据!$B$2:$B$31</c:f>
              <c:numCache>
                <c:formatCode>0.000</c:formatCode>
                <c:ptCount val="30"/>
                <c:pt idx="0">
                  <c:v>649.30200000000002</c:v>
                </c:pt>
                <c:pt idx="1">
                  <c:v>648.28499999999997</c:v>
                </c:pt>
                <c:pt idx="2">
                  <c:v>646.78899999999999</c:v>
                </c:pt>
                <c:pt idx="3">
                  <c:v>615.4</c:v>
                </c:pt>
                <c:pt idx="4">
                  <c:v>587.03700000000003</c:v>
                </c:pt>
                <c:pt idx="5">
                  <c:v>563.73800000000006</c:v>
                </c:pt>
                <c:pt idx="6">
                  <c:v>545.84100000000001</c:v>
                </c:pt>
                <c:pt idx="7">
                  <c:v>527.10400000000004</c:v>
                </c:pt>
                <c:pt idx="8">
                  <c:v>513.38699999999994</c:v>
                </c:pt>
                <c:pt idx="9">
                  <c:v>493.40800000000002</c:v>
                </c:pt>
                <c:pt idx="10">
                  <c:v>477.14</c:v>
                </c:pt>
                <c:pt idx="11">
                  <c:v>464.483</c:v>
                </c:pt>
                <c:pt idx="12">
                  <c:v>456.83499999999998</c:v>
                </c:pt>
                <c:pt idx="13">
                  <c:v>448.06400000000002</c:v>
                </c:pt>
                <c:pt idx="14">
                  <c:v>439.41</c:v>
                </c:pt>
                <c:pt idx="15">
                  <c:v>432.91699999999997</c:v>
                </c:pt>
                <c:pt idx="16">
                  <c:v>425.06599999999997</c:v>
                </c:pt>
                <c:pt idx="17">
                  <c:v>416.81</c:v>
                </c:pt>
                <c:pt idx="18">
                  <c:v>408.69499999999999</c:v>
                </c:pt>
                <c:pt idx="19">
                  <c:v>399.78199999999998</c:v>
                </c:pt>
                <c:pt idx="20">
                  <c:v>389.78500000000003</c:v>
                </c:pt>
                <c:pt idx="21">
                  <c:v>380.01799999999997</c:v>
                </c:pt>
                <c:pt idx="22">
                  <c:v>374.45800000000003</c:v>
                </c:pt>
                <c:pt idx="23">
                  <c:v>369.64400000000001</c:v>
                </c:pt>
                <c:pt idx="24">
                  <c:v>358.26499999999999</c:v>
                </c:pt>
                <c:pt idx="25">
                  <c:v>353.435</c:v>
                </c:pt>
                <c:pt idx="26">
                  <c:v>349.44400000000002</c:v>
                </c:pt>
                <c:pt idx="27">
                  <c:v>347.15699999999998</c:v>
                </c:pt>
                <c:pt idx="28">
                  <c:v>348.54</c:v>
                </c:pt>
                <c:pt idx="29">
                  <c:v>354.84300000000002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B5D-49F7-A6AB-4B02DEBDA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6257855"/>
        <c:axId val="1791647215"/>
      </c:scatterChart>
      <c:valAx>
        <c:axId val="1736257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91647215"/>
        <c:crosses val="autoZero"/>
        <c:crossBetween val="midCat"/>
      </c:valAx>
      <c:valAx>
        <c:axId val="179164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36257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452437</xdr:colOff>
      <xdr:row>14</xdr:row>
      <xdr:rowOff>47625</xdr:rowOff>
    </xdr:from>
    <xdr:to>
      <xdr:col>15</xdr:col>
      <xdr:colOff>223837</xdr:colOff>
      <xdr:row>30</xdr:row>
      <xdr:rowOff>47625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C0CDB44-8821-2BAC-A6C6-546CD1A760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workbookViewId="0">
      <pane ySplit="1" topLeftCell="A2" activePane="bottomLeft" state="frozen"/>
      <selection pane="bottomLeft" activeCell="A2" sqref="A2:B31"/>
    </sheetView>
  </sheetViews>
  <sheetFormatPr defaultRowHeight="13.5" x14ac:dyDescent="0.15"/>
  <cols>
    <col min="1" max="1" width="12" customWidth="1"/>
    <col min="2" max="2" width="11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s="2">
        <v>0</v>
      </c>
      <c r="B2" s="2">
        <v>649.30200000000002</v>
      </c>
    </row>
    <row r="3" spans="1:2" x14ac:dyDescent="0.15">
      <c r="A3" s="2">
        <v>0.83309999999999995</v>
      </c>
      <c r="B3" s="2">
        <v>648.28499999999997</v>
      </c>
    </row>
    <row r="4" spans="1:2" x14ac:dyDescent="0.15">
      <c r="A4" s="2">
        <v>3.6806999999999999</v>
      </c>
      <c r="B4" s="2">
        <v>646.78899999999999</v>
      </c>
    </row>
    <row r="5" spans="1:2" x14ac:dyDescent="0.15">
      <c r="A5" s="2">
        <v>13.802</v>
      </c>
      <c r="B5" s="2">
        <v>615.4</v>
      </c>
    </row>
    <row r="6" spans="1:2" x14ac:dyDescent="0.15">
      <c r="A6" s="2">
        <v>25.178999999999998</v>
      </c>
      <c r="B6" s="2">
        <v>587.03700000000003</v>
      </c>
    </row>
    <row r="7" spans="1:2" x14ac:dyDescent="0.15">
      <c r="A7" s="2">
        <v>35.494999999999997</v>
      </c>
      <c r="B7" s="2">
        <v>563.73800000000006</v>
      </c>
    </row>
    <row r="8" spans="1:2" x14ac:dyDescent="0.15">
      <c r="A8" s="2">
        <v>46.017699999999998</v>
      </c>
      <c r="B8" s="2">
        <v>545.84100000000001</v>
      </c>
    </row>
    <row r="9" spans="1:2" x14ac:dyDescent="0.15">
      <c r="A9" s="2">
        <v>57.06</v>
      </c>
      <c r="B9" s="2">
        <v>527.10400000000004</v>
      </c>
    </row>
    <row r="10" spans="1:2" x14ac:dyDescent="0.15">
      <c r="A10" s="2">
        <v>67.392399999999995</v>
      </c>
      <c r="B10" s="2">
        <v>513.38699999999994</v>
      </c>
    </row>
    <row r="11" spans="1:2" x14ac:dyDescent="0.15">
      <c r="A11" s="2">
        <v>84.392499999999998</v>
      </c>
      <c r="B11" s="2">
        <v>493.40800000000002</v>
      </c>
    </row>
    <row r="12" spans="1:2" x14ac:dyDescent="0.15">
      <c r="A12" s="2">
        <v>101.9415</v>
      </c>
      <c r="B12" s="2">
        <v>477.14</v>
      </c>
    </row>
    <row r="13" spans="1:2" x14ac:dyDescent="0.15">
      <c r="A13" s="2">
        <v>121.0518</v>
      </c>
      <c r="B13" s="2">
        <v>464.483</v>
      </c>
    </row>
    <row r="14" spans="1:2" x14ac:dyDescent="0.15">
      <c r="A14" s="2">
        <v>140.78039999999999</v>
      </c>
      <c r="B14" s="2">
        <v>456.83499999999998</v>
      </c>
    </row>
    <row r="15" spans="1:2" x14ac:dyDescent="0.15">
      <c r="A15" s="2">
        <v>160.96639999999999</v>
      </c>
      <c r="B15" s="2">
        <v>448.06400000000002</v>
      </c>
    </row>
    <row r="16" spans="1:2" x14ac:dyDescent="0.15">
      <c r="A16" s="2">
        <v>181.626</v>
      </c>
      <c r="B16" s="2">
        <v>439.41</v>
      </c>
    </row>
    <row r="17" spans="1:2" x14ac:dyDescent="0.15">
      <c r="A17" s="2">
        <v>202.95099999999999</v>
      </c>
      <c r="B17" s="2">
        <v>432.91699999999997</v>
      </c>
    </row>
    <row r="18" spans="1:2" x14ac:dyDescent="0.15">
      <c r="A18" s="2">
        <v>225.05799999999999</v>
      </c>
      <c r="B18" s="2">
        <v>425.06599999999997</v>
      </c>
    </row>
    <row r="19" spans="1:2" x14ac:dyDescent="0.15">
      <c r="A19" s="2">
        <v>247.048</v>
      </c>
      <c r="B19" s="2">
        <v>416.81</v>
      </c>
    </row>
    <row r="20" spans="1:2" x14ac:dyDescent="0.15">
      <c r="A20" s="2">
        <v>271.291</v>
      </c>
      <c r="B20" s="2">
        <v>408.69499999999999</v>
      </c>
    </row>
    <row r="21" spans="1:2" x14ac:dyDescent="0.15">
      <c r="A21" s="2">
        <v>295.39400000000001</v>
      </c>
      <c r="B21" s="2">
        <v>399.78199999999998</v>
      </c>
    </row>
    <row r="22" spans="1:2" x14ac:dyDescent="0.15">
      <c r="A22" s="2">
        <v>320.12400000000002</v>
      </c>
      <c r="B22" s="2">
        <v>389.78500000000003</v>
      </c>
    </row>
    <row r="23" spans="1:2" x14ac:dyDescent="0.15">
      <c r="A23" s="2">
        <v>344.07299999999998</v>
      </c>
      <c r="B23" s="2">
        <v>380.01799999999997</v>
      </c>
    </row>
    <row r="24" spans="1:2" x14ac:dyDescent="0.15">
      <c r="A24" s="2">
        <v>358.60199999999998</v>
      </c>
      <c r="B24" s="2">
        <v>374.45800000000003</v>
      </c>
    </row>
    <row r="25" spans="1:2" x14ac:dyDescent="0.15">
      <c r="A25" s="2">
        <v>387.36700000000002</v>
      </c>
      <c r="B25" s="2">
        <v>369.64400000000001</v>
      </c>
    </row>
    <row r="26" spans="1:2" x14ac:dyDescent="0.15">
      <c r="A26" s="2">
        <v>421.06200000000001</v>
      </c>
      <c r="B26" s="2">
        <v>358.26499999999999</v>
      </c>
    </row>
    <row r="27" spans="1:2" x14ac:dyDescent="0.15">
      <c r="A27" s="2">
        <v>438.69</v>
      </c>
      <c r="B27" s="2">
        <v>353.435</v>
      </c>
    </row>
    <row r="28" spans="1:2" x14ac:dyDescent="0.15">
      <c r="A28" s="2">
        <v>453.24</v>
      </c>
      <c r="B28" s="2">
        <v>349.44400000000002</v>
      </c>
    </row>
    <row r="29" spans="1:2" x14ac:dyDescent="0.15">
      <c r="A29" s="2">
        <v>469.33800000000002</v>
      </c>
      <c r="B29" s="2">
        <v>347.15699999999998</v>
      </c>
    </row>
    <row r="30" spans="1:2" x14ac:dyDescent="0.15">
      <c r="A30" s="2">
        <v>485.67</v>
      </c>
      <c r="B30" s="2">
        <v>348.54</v>
      </c>
    </row>
    <row r="31" spans="1:2" x14ac:dyDescent="0.15">
      <c r="A31" s="2">
        <v>500</v>
      </c>
      <c r="B31" s="2">
        <v>354.84300000000002</v>
      </c>
    </row>
  </sheetData>
  <autoFilter ref="A1:B31" xr:uid="{00000000-0009-0000-0000-000000000000}"/>
  <phoneticPr fontId="3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2" width="8" customWidth="1"/>
    <col min="3" max="4" width="9" customWidth="1"/>
    <col min="5" max="5" width="10" customWidth="1"/>
    <col min="6" max="6" width="21" customWidth="1"/>
    <col min="7" max="7" width="11" customWidth="1"/>
    <col min="8" max="8" width="7" customWidth="1"/>
    <col min="9" max="9" width="12" customWidth="1"/>
    <col min="10" max="10" width="11" customWidth="1"/>
    <col min="11" max="11" width="14" customWidth="1"/>
    <col min="12" max="12" width="12" customWidth="1"/>
    <col min="13" max="13" width="13" customWidth="1"/>
    <col min="14" max="14" width="21" customWidth="1"/>
  </cols>
  <sheetData>
    <row r="1" spans="1:14" x14ac:dyDescent="0.1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</row>
    <row r="2" spans="1:14" x14ac:dyDescent="0.15">
      <c r="A2" s="3" t="s">
        <v>16</v>
      </c>
      <c r="B2" s="2">
        <v>1</v>
      </c>
      <c r="C2" s="2">
        <v>0</v>
      </c>
      <c r="D2" s="2">
        <v>62.5</v>
      </c>
      <c r="E2" s="2">
        <v>31.25</v>
      </c>
      <c r="F2" s="2">
        <v>573.32546170996511</v>
      </c>
      <c r="G2" s="2">
        <v>62.5</v>
      </c>
      <c r="H2" s="2">
        <v>3</v>
      </c>
      <c r="I2" s="2">
        <v>23</v>
      </c>
      <c r="J2" s="2">
        <v>10</v>
      </c>
      <c r="K2" s="2">
        <v>69</v>
      </c>
      <c r="L2" s="2">
        <v>20</v>
      </c>
      <c r="M2" s="2">
        <v>89</v>
      </c>
      <c r="N2" s="2">
        <v>589.26422343523495</v>
      </c>
    </row>
    <row r="3" spans="1:14" x14ac:dyDescent="0.15">
      <c r="A3" s="3" t="s">
        <v>16</v>
      </c>
      <c r="B3" s="2">
        <v>2</v>
      </c>
      <c r="C3" s="2">
        <v>62.5</v>
      </c>
      <c r="D3" s="2">
        <v>125</v>
      </c>
      <c r="E3" s="2">
        <v>93.75</v>
      </c>
      <c r="F3" s="2">
        <v>484.73355644196249</v>
      </c>
      <c r="G3" s="2">
        <v>62.5</v>
      </c>
      <c r="H3" s="2">
        <v>3</v>
      </c>
      <c r="I3" s="2">
        <v>23</v>
      </c>
      <c r="J3" s="2">
        <v>10</v>
      </c>
      <c r="K3" s="2">
        <v>69</v>
      </c>
      <c r="L3" s="2">
        <v>20</v>
      </c>
      <c r="M3" s="2">
        <v>89</v>
      </c>
      <c r="N3" s="2">
        <v>488.54207491982362</v>
      </c>
    </row>
    <row r="4" spans="1:14" x14ac:dyDescent="0.15">
      <c r="A4" s="3" t="s">
        <v>16</v>
      </c>
      <c r="B4" s="2">
        <v>3</v>
      </c>
      <c r="C4" s="2">
        <v>125</v>
      </c>
      <c r="D4" s="2">
        <v>187.5</v>
      </c>
      <c r="E4" s="2">
        <v>156.25</v>
      </c>
      <c r="F4" s="2">
        <v>450.11331855741611</v>
      </c>
      <c r="G4" s="2">
        <v>62.5</v>
      </c>
      <c r="H4" s="2">
        <v>3</v>
      </c>
      <c r="I4" s="2">
        <v>23</v>
      </c>
      <c r="J4" s="2">
        <v>10</v>
      </c>
      <c r="K4" s="2">
        <v>69</v>
      </c>
      <c r="L4" s="2">
        <v>20</v>
      </c>
      <c r="M4" s="2">
        <v>89</v>
      </c>
      <c r="N4" s="2">
        <v>448.97658659961508</v>
      </c>
    </row>
    <row r="5" spans="1:14" x14ac:dyDescent="0.15">
      <c r="A5" s="3" t="s">
        <v>16</v>
      </c>
      <c r="B5" s="2">
        <v>4</v>
      </c>
      <c r="C5" s="2">
        <v>187.5</v>
      </c>
      <c r="D5" s="2">
        <v>250</v>
      </c>
      <c r="E5" s="2">
        <v>218.75</v>
      </c>
      <c r="F5" s="2">
        <v>427.30620029854788</v>
      </c>
      <c r="G5" s="2">
        <v>62.5</v>
      </c>
      <c r="H5" s="2">
        <v>3</v>
      </c>
      <c r="I5" s="2">
        <v>23</v>
      </c>
      <c r="J5" s="2">
        <v>10</v>
      </c>
      <c r="K5" s="2">
        <v>69</v>
      </c>
      <c r="L5" s="2">
        <v>20</v>
      </c>
      <c r="M5" s="2">
        <v>89</v>
      </c>
      <c r="N5" s="2">
        <v>425.64727086291509</v>
      </c>
    </row>
    <row r="6" spans="1:14" x14ac:dyDescent="0.15">
      <c r="A6" s="3" t="s">
        <v>16</v>
      </c>
      <c r="B6" s="2">
        <v>5</v>
      </c>
      <c r="C6" s="2">
        <v>250</v>
      </c>
      <c r="D6" s="2">
        <v>312.5</v>
      </c>
      <c r="E6" s="2">
        <v>281.25</v>
      </c>
      <c r="F6" s="2">
        <v>405.01228137576231</v>
      </c>
      <c r="G6" s="2">
        <v>62.5</v>
      </c>
      <c r="H6" s="2">
        <v>3</v>
      </c>
      <c r="I6" s="2">
        <v>23</v>
      </c>
      <c r="J6" s="2">
        <v>10</v>
      </c>
      <c r="K6" s="2">
        <v>69</v>
      </c>
      <c r="L6" s="2">
        <v>20</v>
      </c>
      <c r="M6" s="2">
        <v>89</v>
      </c>
      <c r="N6" s="2">
        <v>404.29145757966262</v>
      </c>
    </row>
    <row r="7" spans="1:14" x14ac:dyDescent="0.15">
      <c r="A7" s="3" t="s">
        <v>16</v>
      </c>
      <c r="B7" s="2">
        <v>6</v>
      </c>
      <c r="C7" s="2">
        <v>312.5</v>
      </c>
      <c r="D7" s="2">
        <v>375</v>
      </c>
      <c r="E7" s="2">
        <v>343.75</v>
      </c>
      <c r="F7" s="2">
        <v>380.14972746252448</v>
      </c>
      <c r="G7" s="2">
        <v>62.5</v>
      </c>
      <c r="H7" s="2">
        <v>3</v>
      </c>
      <c r="I7" s="2">
        <v>23</v>
      </c>
      <c r="J7" s="2">
        <v>10</v>
      </c>
      <c r="K7" s="2">
        <v>69</v>
      </c>
      <c r="L7" s="2">
        <v>20</v>
      </c>
      <c r="M7" s="2">
        <v>89</v>
      </c>
      <c r="N7" s="2">
        <v>381.76833281116149</v>
      </c>
    </row>
    <row r="8" spans="1:14" x14ac:dyDescent="0.15">
      <c r="A8" s="3" t="s">
        <v>16</v>
      </c>
      <c r="B8" s="2">
        <v>7</v>
      </c>
      <c r="C8" s="2">
        <v>375</v>
      </c>
      <c r="D8" s="2">
        <v>437.5</v>
      </c>
      <c r="E8" s="2">
        <v>406.25</v>
      </c>
      <c r="F8" s="2">
        <v>363.26709965870299</v>
      </c>
      <c r="G8" s="2">
        <v>62.5</v>
      </c>
      <c r="H8" s="2">
        <v>3</v>
      </c>
      <c r="I8" s="2">
        <v>23</v>
      </c>
      <c r="J8" s="2">
        <v>10</v>
      </c>
      <c r="K8" s="2">
        <v>69</v>
      </c>
      <c r="L8" s="2">
        <v>20</v>
      </c>
      <c r="M8" s="2">
        <v>89</v>
      </c>
      <c r="N8" s="2">
        <v>363.34593719875869</v>
      </c>
    </row>
    <row r="9" spans="1:14" x14ac:dyDescent="0.15">
      <c r="A9" s="3" t="s">
        <v>16</v>
      </c>
      <c r="B9" s="2">
        <v>8</v>
      </c>
      <c r="C9" s="2">
        <v>437.5</v>
      </c>
      <c r="D9" s="2">
        <v>500</v>
      </c>
      <c r="E9" s="2">
        <v>468.75</v>
      </c>
      <c r="F9" s="2">
        <v>347.24053559448379</v>
      </c>
      <c r="G9" s="2">
        <v>62.5</v>
      </c>
      <c r="H9" s="2">
        <v>3</v>
      </c>
      <c r="I9" s="2">
        <v>23</v>
      </c>
      <c r="J9" s="2">
        <v>10</v>
      </c>
      <c r="K9" s="2">
        <v>69</v>
      </c>
      <c r="L9" s="2">
        <v>20</v>
      </c>
      <c r="M9" s="2">
        <v>89</v>
      </c>
      <c r="N9" s="2">
        <v>351.19667585659181</v>
      </c>
    </row>
  </sheetData>
  <autoFilter ref="A1:N9" xr:uid="{00000000-0009-0000-0000-000001000000}"/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9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0" customWidth="1"/>
    <col min="2" max="2" width="8" customWidth="1"/>
    <col min="3" max="5" width="9" customWidth="1"/>
    <col min="6" max="6" width="21" customWidth="1"/>
    <col min="7" max="7" width="11" customWidth="1"/>
    <col min="8" max="8" width="7" customWidth="1"/>
    <col min="9" max="9" width="12" customWidth="1"/>
    <col min="10" max="10" width="11" customWidth="1"/>
    <col min="11" max="11" width="14" customWidth="1"/>
    <col min="12" max="12" width="12" customWidth="1"/>
    <col min="13" max="13" width="13" customWidth="1"/>
    <col min="14" max="14" width="21" customWidth="1"/>
  </cols>
  <sheetData>
    <row r="1" spans="1:14" x14ac:dyDescent="0.1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</row>
    <row r="2" spans="1:14" x14ac:dyDescent="0.15">
      <c r="A2" s="3" t="s">
        <v>17</v>
      </c>
      <c r="B2" s="2">
        <v>1</v>
      </c>
      <c r="C2" s="2">
        <v>0</v>
      </c>
      <c r="D2" s="2">
        <v>33</v>
      </c>
      <c r="E2" s="2">
        <v>16.5</v>
      </c>
      <c r="F2" s="2">
        <v>608.67385303682863</v>
      </c>
      <c r="G2" s="2">
        <v>33</v>
      </c>
      <c r="H2" s="2">
        <v>2</v>
      </c>
      <c r="I2" s="2">
        <v>23</v>
      </c>
      <c r="J2" s="2">
        <v>10</v>
      </c>
      <c r="K2" s="2">
        <v>46</v>
      </c>
      <c r="L2" s="2">
        <v>10</v>
      </c>
      <c r="M2" s="2">
        <v>56</v>
      </c>
      <c r="N2" s="2">
        <v>607.48465119908929</v>
      </c>
    </row>
    <row r="3" spans="1:14" x14ac:dyDescent="0.15">
      <c r="A3" s="3" t="s">
        <v>17</v>
      </c>
      <c r="B3" s="2">
        <v>2</v>
      </c>
      <c r="C3" s="2">
        <v>33</v>
      </c>
      <c r="D3" s="2">
        <v>66</v>
      </c>
      <c r="E3" s="2">
        <v>49.5</v>
      </c>
      <c r="F3" s="2">
        <v>539.93209921845994</v>
      </c>
      <c r="G3" s="2">
        <v>33</v>
      </c>
      <c r="H3" s="2">
        <v>2</v>
      </c>
      <c r="I3" s="2">
        <v>23</v>
      </c>
      <c r="J3" s="2">
        <v>10</v>
      </c>
      <c r="K3" s="2">
        <v>46</v>
      </c>
      <c r="L3" s="2">
        <v>10</v>
      </c>
      <c r="M3" s="2">
        <v>56</v>
      </c>
      <c r="N3" s="2">
        <v>547.12993242367122</v>
      </c>
    </row>
    <row r="4" spans="1:14" x14ac:dyDescent="0.15">
      <c r="A4" s="3" t="s">
        <v>17</v>
      </c>
      <c r="B4" s="2">
        <v>3</v>
      </c>
      <c r="C4" s="2">
        <v>66</v>
      </c>
      <c r="D4" s="2">
        <v>99</v>
      </c>
      <c r="E4" s="2">
        <v>82.5</v>
      </c>
      <c r="F4" s="2">
        <v>495.63211971106051</v>
      </c>
      <c r="G4" s="2">
        <v>33</v>
      </c>
      <c r="H4" s="2">
        <v>2</v>
      </c>
      <c r="I4" s="2">
        <v>23</v>
      </c>
      <c r="J4" s="2">
        <v>10</v>
      </c>
      <c r="K4" s="2">
        <v>46</v>
      </c>
      <c r="L4" s="2">
        <v>10</v>
      </c>
      <c r="M4" s="2">
        <v>56</v>
      </c>
      <c r="N4" s="2">
        <v>501.7306192481264</v>
      </c>
    </row>
    <row r="5" spans="1:14" x14ac:dyDescent="0.15">
      <c r="A5" s="3" t="s">
        <v>17</v>
      </c>
      <c r="B5" s="2">
        <v>4</v>
      </c>
      <c r="C5" s="2">
        <v>99</v>
      </c>
      <c r="D5" s="2">
        <v>132</v>
      </c>
      <c r="E5" s="2">
        <v>115.5</v>
      </c>
      <c r="F5" s="2">
        <v>468.16002927740539</v>
      </c>
      <c r="G5" s="2">
        <v>33</v>
      </c>
      <c r="H5" s="2">
        <v>2</v>
      </c>
      <c r="I5" s="2">
        <v>23</v>
      </c>
      <c r="J5" s="2">
        <v>10</v>
      </c>
      <c r="K5" s="2">
        <v>46</v>
      </c>
      <c r="L5" s="2">
        <v>10</v>
      </c>
      <c r="M5" s="2">
        <v>56</v>
      </c>
      <c r="N5" s="2">
        <v>471.5529119089561</v>
      </c>
    </row>
    <row r="6" spans="1:14" x14ac:dyDescent="0.15">
      <c r="A6" s="3" t="s">
        <v>17</v>
      </c>
      <c r="B6" s="2">
        <v>5</v>
      </c>
      <c r="C6" s="2">
        <v>132</v>
      </c>
      <c r="D6" s="2">
        <v>198</v>
      </c>
      <c r="E6" s="2">
        <v>165</v>
      </c>
      <c r="F6" s="2">
        <v>446.37438478963782</v>
      </c>
      <c r="G6" s="2">
        <v>66</v>
      </c>
      <c r="H6" s="2">
        <v>3</v>
      </c>
      <c r="I6" s="2">
        <v>23</v>
      </c>
      <c r="J6" s="2">
        <v>10</v>
      </c>
      <c r="K6" s="2">
        <v>69</v>
      </c>
      <c r="L6" s="2">
        <v>20</v>
      </c>
      <c r="M6" s="2">
        <v>89</v>
      </c>
      <c r="N6" s="2">
        <v>448.18590859109128</v>
      </c>
    </row>
    <row r="7" spans="1:14" x14ac:dyDescent="0.15">
      <c r="A7" s="3" t="s">
        <v>17</v>
      </c>
      <c r="B7" s="2">
        <v>6</v>
      </c>
      <c r="C7" s="2">
        <v>198</v>
      </c>
      <c r="D7" s="2">
        <v>297</v>
      </c>
      <c r="E7" s="2">
        <v>247.5</v>
      </c>
      <c r="F7" s="2">
        <v>416.65869941838878</v>
      </c>
      <c r="G7" s="2">
        <v>99</v>
      </c>
      <c r="H7" s="2">
        <v>4</v>
      </c>
      <c r="I7" s="2">
        <v>23</v>
      </c>
      <c r="J7" s="2">
        <v>10</v>
      </c>
      <c r="K7" s="2">
        <v>92</v>
      </c>
      <c r="L7" s="2">
        <v>30</v>
      </c>
      <c r="M7" s="2">
        <v>122</v>
      </c>
      <c r="N7" s="2">
        <v>416.44963180988663</v>
      </c>
    </row>
    <row r="8" spans="1:14" x14ac:dyDescent="0.15">
      <c r="A8" s="3" t="s">
        <v>17</v>
      </c>
      <c r="B8" s="2">
        <v>7</v>
      </c>
      <c r="C8" s="2">
        <v>297</v>
      </c>
      <c r="D8" s="2">
        <v>396</v>
      </c>
      <c r="E8" s="2">
        <v>346.5</v>
      </c>
      <c r="F8" s="2">
        <v>379.08922857732807</v>
      </c>
      <c r="G8" s="2">
        <v>99</v>
      </c>
      <c r="H8" s="2">
        <v>4</v>
      </c>
      <c r="I8" s="2">
        <v>23</v>
      </c>
      <c r="J8" s="2">
        <v>10</v>
      </c>
      <c r="K8" s="2">
        <v>92</v>
      </c>
      <c r="L8" s="2">
        <v>30</v>
      </c>
      <c r="M8" s="2">
        <v>122</v>
      </c>
      <c r="N8" s="2">
        <v>380.75557595604772</v>
      </c>
    </row>
    <row r="9" spans="1:14" x14ac:dyDescent="0.15">
      <c r="A9" s="3" t="s">
        <v>17</v>
      </c>
      <c r="B9" s="2">
        <v>8</v>
      </c>
      <c r="C9" s="2">
        <v>396</v>
      </c>
      <c r="D9" s="2">
        <v>500</v>
      </c>
      <c r="E9" s="2">
        <v>448</v>
      </c>
      <c r="F9" s="2">
        <v>350.88130859106531</v>
      </c>
      <c r="G9" s="2">
        <v>104</v>
      </c>
      <c r="H9" s="2">
        <v>4</v>
      </c>
      <c r="I9" s="2">
        <v>23</v>
      </c>
      <c r="J9" s="2">
        <v>10</v>
      </c>
      <c r="K9" s="2">
        <v>92</v>
      </c>
      <c r="L9" s="2">
        <v>30</v>
      </c>
      <c r="M9" s="2">
        <v>122</v>
      </c>
      <c r="N9" s="2">
        <v>354.3134519079303</v>
      </c>
    </row>
  </sheetData>
  <autoFilter ref="A1:N9" xr:uid="{00000000-0009-0000-0000-000002000000}"/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3" width="8" customWidth="1"/>
    <col min="4" max="4" width="10" customWidth="1"/>
    <col min="5" max="5" width="21" customWidth="1"/>
    <col min="6" max="8" width="11" customWidth="1"/>
  </cols>
  <sheetData>
    <row r="1" spans="1:8" x14ac:dyDescent="0.15">
      <c r="A1" s="1" t="s">
        <v>2</v>
      </c>
      <c r="B1" s="1" t="s">
        <v>3</v>
      </c>
      <c r="C1" s="1" t="s">
        <v>18</v>
      </c>
      <c r="D1" s="1" t="s">
        <v>19</v>
      </c>
      <c r="E1" s="1" t="s">
        <v>1</v>
      </c>
      <c r="F1" s="1" t="s">
        <v>20</v>
      </c>
      <c r="G1" s="1" t="s">
        <v>21</v>
      </c>
      <c r="H1" s="1" t="s">
        <v>8</v>
      </c>
    </row>
    <row r="2" spans="1:8" x14ac:dyDescent="0.15">
      <c r="A2" s="4" t="s">
        <v>16</v>
      </c>
      <c r="B2" s="5">
        <v>1</v>
      </c>
      <c r="C2" s="4" t="s">
        <v>22</v>
      </c>
      <c r="D2" s="2">
        <v>18.75</v>
      </c>
      <c r="E2" s="2">
        <v>603.06457554715655</v>
      </c>
      <c r="F2" s="2">
        <v>0</v>
      </c>
      <c r="G2" s="2">
        <v>62.5</v>
      </c>
      <c r="H2" s="2">
        <v>62.5</v>
      </c>
    </row>
    <row r="3" spans="1:8" x14ac:dyDescent="0.15">
      <c r="A3" s="4" t="s">
        <v>16</v>
      </c>
      <c r="B3" s="5">
        <v>1</v>
      </c>
      <c r="C3" s="4" t="s">
        <v>23</v>
      </c>
      <c r="D3" s="2">
        <v>31.25</v>
      </c>
      <c r="E3" s="2">
        <v>573.32546170996511</v>
      </c>
      <c r="F3" s="2">
        <v>0</v>
      </c>
      <c r="G3" s="2">
        <v>62.5</v>
      </c>
      <c r="H3" s="2">
        <v>62.5</v>
      </c>
    </row>
    <row r="4" spans="1:8" x14ac:dyDescent="0.15">
      <c r="A4" s="4" t="s">
        <v>16</v>
      </c>
      <c r="B4" s="5">
        <v>1</v>
      </c>
      <c r="C4" s="4" t="s">
        <v>24</v>
      </c>
      <c r="D4" s="2">
        <v>43.75</v>
      </c>
      <c r="E4" s="2">
        <v>549.69790240147495</v>
      </c>
      <c r="F4" s="2">
        <v>0</v>
      </c>
      <c r="G4" s="2">
        <v>62.5</v>
      </c>
      <c r="H4" s="2">
        <v>62.5</v>
      </c>
    </row>
    <row r="5" spans="1:8" x14ac:dyDescent="0.15">
      <c r="A5" s="4" t="s">
        <v>16</v>
      </c>
      <c r="B5" s="5">
        <v>2</v>
      </c>
      <c r="C5" s="4" t="s">
        <v>22</v>
      </c>
      <c r="D5" s="2">
        <v>81.25</v>
      </c>
      <c r="E5" s="2">
        <v>497.10115518732238</v>
      </c>
      <c r="F5" s="2">
        <v>62.5</v>
      </c>
      <c r="G5" s="2">
        <v>125</v>
      </c>
      <c r="H5" s="2">
        <v>62.5</v>
      </c>
    </row>
    <row r="6" spans="1:8" x14ac:dyDescent="0.15">
      <c r="A6" s="4" t="s">
        <v>16</v>
      </c>
      <c r="B6" s="5">
        <v>2</v>
      </c>
      <c r="C6" s="4" t="s">
        <v>23</v>
      </c>
      <c r="D6" s="2">
        <v>93.75</v>
      </c>
      <c r="E6" s="2">
        <v>484.73355644196249</v>
      </c>
      <c r="F6" s="2">
        <v>62.5</v>
      </c>
      <c r="G6" s="2">
        <v>125</v>
      </c>
      <c r="H6" s="2">
        <v>62.5</v>
      </c>
    </row>
    <row r="7" spans="1:8" x14ac:dyDescent="0.15">
      <c r="A7" s="4" t="s">
        <v>16</v>
      </c>
      <c r="B7" s="5">
        <v>2</v>
      </c>
      <c r="C7" s="4" t="s">
        <v>24</v>
      </c>
      <c r="D7" s="2">
        <v>106.25</v>
      </c>
      <c r="E7" s="2">
        <v>474.28642446743379</v>
      </c>
      <c r="F7" s="2">
        <v>62.5</v>
      </c>
      <c r="G7" s="2">
        <v>125</v>
      </c>
      <c r="H7" s="2">
        <v>62.5</v>
      </c>
    </row>
    <row r="8" spans="1:8" x14ac:dyDescent="0.15">
      <c r="A8" s="4" t="s">
        <v>16</v>
      </c>
      <c r="B8" s="5">
        <v>3</v>
      </c>
      <c r="C8" s="4" t="s">
        <v>22</v>
      </c>
      <c r="D8" s="2">
        <v>143.75</v>
      </c>
      <c r="E8" s="2">
        <v>455.54468187852967</v>
      </c>
      <c r="F8" s="2">
        <v>125</v>
      </c>
      <c r="G8" s="2">
        <v>187.5</v>
      </c>
      <c r="H8" s="2">
        <v>62.5</v>
      </c>
    </row>
    <row r="9" spans="1:8" x14ac:dyDescent="0.15">
      <c r="A9" s="4" t="s">
        <v>16</v>
      </c>
      <c r="B9" s="5">
        <v>3</v>
      </c>
      <c r="C9" s="4" t="s">
        <v>23</v>
      </c>
      <c r="D9" s="2">
        <v>156.25</v>
      </c>
      <c r="E9" s="2">
        <v>450.11331855741611</v>
      </c>
      <c r="F9" s="2">
        <v>125</v>
      </c>
      <c r="G9" s="2">
        <v>187.5</v>
      </c>
      <c r="H9" s="2">
        <v>62.5</v>
      </c>
    </row>
    <row r="10" spans="1:8" x14ac:dyDescent="0.15">
      <c r="A10" s="4" t="s">
        <v>16</v>
      </c>
      <c r="B10" s="5">
        <v>3</v>
      </c>
      <c r="C10" s="4" t="s">
        <v>24</v>
      </c>
      <c r="D10" s="2">
        <v>168.75</v>
      </c>
      <c r="E10" s="2">
        <v>444.80356541268952</v>
      </c>
      <c r="F10" s="2">
        <v>125</v>
      </c>
      <c r="G10" s="2">
        <v>187.5</v>
      </c>
      <c r="H10" s="2">
        <v>62.5</v>
      </c>
    </row>
    <row r="11" spans="1:8" x14ac:dyDescent="0.15">
      <c r="A11" s="4" t="s">
        <v>16</v>
      </c>
      <c r="B11" s="5">
        <v>4</v>
      </c>
      <c r="C11" s="4" t="s">
        <v>22</v>
      </c>
      <c r="D11" s="2">
        <v>206.25</v>
      </c>
      <c r="E11" s="2">
        <v>431.74540507531549</v>
      </c>
      <c r="F11" s="2">
        <v>187.5</v>
      </c>
      <c r="G11" s="2">
        <v>250</v>
      </c>
      <c r="H11" s="2">
        <v>62.5</v>
      </c>
    </row>
    <row r="12" spans="1:8" x14ac:dyDescent="0.15">
      <c r="A12" s="4" t="s">
        <v>16</v>
      </c>
      <c r="B12" s="5">
        <v>4</v>
      </c>
      <c r="C12" s="4" t="s">
        <v>23</v>
      </c>
      <c r="D12" s="2">
        <v>218.75</v>
      </c>
      <c r="E12" s="2">
        <v>427.30620029854788</v>
      </c>
      <c r="F12" s="2">
        <v>187.5</v>
      </c>
      <c r="G12" s="2">
        <v>250</v>
      </c>
      <c r="H12" s="2">
        <v>62.5</v>
      </c>
    </row>
    <row r="13" spans="1:8" x14ac:dyDescent="0.15">
      <c r="A13" s="4" t="s">
        <v>16</v>
      </c>
      <c r="B13" s="5">
        <v>4</v>
      </c>
      <c r="C13" s="4" t="s">
        <v>24</v>
      </c>
      <c r="D13" s="2">
        <v>231.25</v>
      </c>
      <c r="E13" s="2">
        <v>422.74125457025917</v>
      </c>
      <c r="F13" s="2">
        <v>187.5</v>
      </c>
      <c r="G13" s="2">
        <v>250</v>
      </c>
      <c r="H13" s="2">
        <v>62.5</v>
      </c>
    </row>
    <row r="14" spans="1:8" x14ac:dyDescent="0.15">
      <c r="A14" s="4" t="s">
        <v>16</v>
      </c>
      <c r="B14" s="5">
        <v>5</v>
      </c>
      <c r="C14" s="4" t="s">
        <v>22</v>
      </c>
      <c r="D14" s="2">
        <v>268.75</v>
      </c>
      <c r="E14" s="2">
        <v>409.54556366786289</v>
      </c>
      <c r="F14" s="2">
        <v>250</v>
      </c>
      <c r="G14" s="2">
        <v>312.5</v>
      </c>
      <c r="H14" s="2">
        <v>62.5</v>
      </c>
    </row>
    <row r="15" spans="1:8" x14ac:dyDescent="0.15">
      <c r="A15" s="4" t="s">
        <v>16</v>
      </c>
      <c r="B15" s="5">
        <v>5</v>
      </c>
      <c r="C15" s="4" t="s">
        <v>23</v>
      </c>
      <c r="D15" s="2">
        <v>281.25</v>
      </c>
      <c r="E15" s="2">
        <v>405.01228137576231</v>
      </c>
      <c r="F15" s="2">
        <v>250</v>
      </c>
      <c r="G15" s="2">
        <v>312.5</v>
      </c>
      <c r="H15" s="2">
        <v>62.5</v>
      </c>
    </row>
    <row r="16" spans="1:8" x14ac:dyDescent="0.15">
      <c r="A16" s="4" t="s">
        <v>16</v>
      </c>
      <c r="B16" s="5">
        <v>5</v>
      </c>
      <c r="C16" s="4" t="s">
        <v>24</v>
      </c>
      <c r="D16" s="2">
        <v>293.75</v>
      </c>
      <c r="E16" s="2">
        <v>400.38993146081401</v>
      </c>
      <c r="F16" s="2">
        <v>250</v>
      </c>
      <c r="G16" s="2">
        <v>312.5</v>
      </c>
      <c r="H16" s="2">
        <v>62.5</v>
      </c>
    </row>
    <row r="17" spans="1:8" x14ac:dyDescent="0.15">
      <c r="A17" s="4" t="s">
        <v>16</v>
      </c>
      <c r="B17" s="5">
        <v>6</v>
      </c>
      <c r="C17" s="4" t="s">
        <v>22</v>
      </c>
      <c r="D17" s="2">
        <v>331.25</v>
      </c>
      <c r="E17" s="2">
        <v>385.24753947972778</v>
      </c>
      <c r="F17" s="2">
        <v>312.5</v>
      </c>
      <c r="G17" s="2">
        <v>375</v>
      </c>
      <c r="H17" s="2">
        <v>62.5</v>
      </c>
    </row>
    <row r="18" spans="1:8" x14ac:dyDescent="0.15">
      <c r="A18" s="4" t="s">
        <v>16</v>
      </c>
      <c r="B18" s="5">
        <v>6</v>
      </c>
      <c r="C18" s="4" t="s">
        <v>23</v>
      </c>
      <c r="D18" s="2">
        <v>343.75</v>
      </c>
      <c r="E18" s="2">
        <v>380.14972746252448</v>
      </c>
      <c r="F18" s="2">
        <v>312.5</v>
      </c>
      <c r="G18" s="2">
        <v>375</v>
      </c>
      <c r="H18" s="2">
        <v>62.5</v>
      </c>
    </row>
    <row r="19" spans="1:8" x14ac:dyDescent="0.15">
      <c r="A19" s="4" t="s">
        <v>16</v>
      </c>
      <c r="B19" s="5">
        <v>6</v>
      </c>
      <c r="C19" s="4" t="s">
        <v>24</v>
      </c>
      <c r="D19" s="2">
        <v>356.25</v>
      </c>
      <c r="E19" s="2">
        <v>375.35807020441882</v>
      </c>
      <c r="F19" s="2">
        <v>312.5</v>
      </c>
      <c r="G19" s="2">
        <v>375</v>
      </c>
      <c r="H19" s="2">
        <v>62.5</v>
      </c>
    </row>
    <row r="20" spans="1:8" x14ac:dyDescent="0.15">
      <c r="A20" s="4" t="s">
        <v>16</v>
      </c>
      <c r="B20" s="5">
        <v>7</v>
      </c>
      <c r="C20" s="4" t="s">
        <v>22</v>
      </c>
      <c r="D20" s="2">
        <v>393.75</v>
      </c>
      <c r="E20" s="2">
        <v>367.4884232972251</v>
      </c>
      <c r="F20" s="2">
        <v>375</v>
      </c>
      <c r="G20" s="2">
        <v>437.5</v>
      </c>
      <c r="H20" s="2">
        <v>62.5</v>
      </c>
    </row>
    <row r="21" spans="1:8" x14ac:dyDescent="0.15">
      <c r="A21" s="4" t="s">
        <v>16</v>
      </c>
      <c r="B21" s="5">
        <v>7</v>
      </c>
      <c r="C21" s="4" t="s">
        <v>23</v>
      </c>
      <c r="D21" s="2">
        <v>406.25</v>
      </c>
      <c r="E21" s="2">
        <v>363.26709965870299</v>
      </c>
      <c r="F21" s="2">
        <v>375</v>
      </c>
      <c r="G21" s="2">
        <v>437.5</v>
      </c>
      <c r="H21" s="2">
        <v>62.5</v>
      </c>
    </row>
    <row r="22" spans="1:8" x14ac:dyDescent="0.15">
      <c r="A22" s="4" t="s">
        <v>16</v>
      </c>
      <c r="B22" s="5">
        <v>7</v>
      </c>
      <c r="C22" s="4" t="s">
        <v>24</v>
      </c>
      <c r="D22" s="2">
        <v>418.75</v>
      </c>
      <c r="E22" s="2">
        <v>359.04577602018111</v>
      </c>
      <c r="F22" s="2">
        <v>375</v>
      </c>
      <c r="G22" s="2">
        <v>437.5</v>
      </c>
      <c r="H22" s="2">
        <v>62.5</v>
      </c>
    </row>
    <row r="23" spans="1:8" x14ac:dyDescent="0.15">
      <c r="A23" s="4" t="s">
        <v>16</v>
      </c>
      <c r="B23" s="5">
        <v>8</v>
      </c>
      <c r="C23" s="4" t="s">
        <v>22</v>
      </c>
      <c r="D23" s="2">
        <v>456.25</v>
      </c>
      <c r="E23" s="2">
        <v>349.01637731395198</v>
      </c>
      <c r="F23" s="2">
        <v>437.5</v>
      </c>
      <c r="G23" s="2">
        <v>500</v>
      </c>
      <c r="H23" s="2">
        <v>62.5</v>
      </c>
    </row>
    <row r="24" spans="1:8" x14ac:dyDescent="0.15">
      <c r="A24" s="4" t="s">
        <v>16</v>
      </c>
      <c r="B24" s="5">
        <v>8</v>
      </c>
      <c r="C24" s="4" t="s">
        <v>23</v>
      </c>
      <c r="D24" s="2">
        <v>468.75</v>
      </c>
      <c r="E24" s="2">
        <v>347.24053559448379</v>
      </c>
      <c r="F24" s="2">
        <v>437.5</v>
      </c>
      <c r="G24" s="2">
        <v>500</v>
      </c>
      <c r="H24" s="2">
        <v>62.5</v>
      </c>
    </row>
    <row r="25" spans="1:8" x14ac:dyDescent="0.15">
      <c r="A25" s="4" t="s">
        <v>16</v>
      </c>
      <c r="B25" s="5">
        <v>8</v>
      </c>
      <c r="C25" s="4" t="s">
        <v>24</v>
      </c>
      <c r="D25" s="2">
        <v>481.25</v>
      </c>
      <c r="E25" s="2">
        <v>348.16571271124172</v>
      </c>
      <c r="F25" s="2">
        <v>437.5</v>
      </c>
      <c r="G25" s="2">
        <v>500</v>
      </c>
      <c r="H25" s="2">
        <v>62.5</v>
      </c>
    </row>
  </sheetData>
  <autoFilter ref="A1:H25" xr:uid="{00000000-0009-0000-0000-000003000000}"/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5"/>
  <sheetViews>
    <sheetView tabSelected="1" workbookViewId="0">
      <pane ySplit="1" topLeftCell="A2" activePane="bottomLeft" state="frozen"/>
      <selection pane="bottomLeft" activeCell="I2" sqref="I2:L25"/>
    </sheetView>
  </sheetViews>
  <sheetFormatPr defaultRowHeight="13.5" x14ac:dyDescent="0.15"/>
  <cols>
    <col min="1" max="1" width="10" customWidth="1"/>
    <col min="2" max="3" width="8" customWidth="1"/>
    <col min="4" max="4" width="9" customWidth="1"/>
    <col min="5" max="5" width="21" customWidth="1"/>
    <col min="6" max="8" width="11" customWidth="1"/>
    <col min="9" max="9" width="11" style="8" customWidth="1"/>
    <col min="10" max="10" width="10.25" style="11" customWidth="1"/>
    <col min="11" max="11" width="9" style="11" customWidth="1"/>
    <col min="12" max="12" width="9" customWidth="1"/>
  </cols>
  <sheetData>
    <row r="1" spans="1:12" x14ac:dyDescent="0.15">
      <c r="A1" s="1" t="s">
        <v>2</v>
      </c>
      <c r="B1" s="1" t="s">
        <v>3</v>
      </c>
      <c r="C1" s="1" t="s">
        <v>18</v>
      </c>
      <c r="D1" s="1" t="s">
        <v>19</v>
      </c>
      <c r="E1" s="1" t="s">
        <v>1</v>
      </c>
      <c r="F1" s="1" t="s">
        <v>20</v>
      </c>
      <c r="G1" s="1" t="s">
        <v>21</v>
      </c>
      <c r="H1" s="1" t="s">
        <v>8</v>
      </c>
      <c r="I1" s="9"/>
    </row>
    <row r="2" spans="1:12" x14ac:dyDescent="0.15">
      <c r="A2" s="4" t="s">
        <v>17</v>
      </c>
      <c r="B2" s="5">
        <v>1</v>
      </c>
      <c r="C2" s="4" t="s">
        <v>22</v>
      </c>
      <c r="D2" s="2">
        <v>9.9</v>
      </c>
      <c r="E2" s="2">
        <v>627.50120024107571</v>
      </c>
      <c r="F2" s="2">
        <v>0</v>
      </c>
      <c r="G2" s="2">
        <v>33</v>
      </c>
      <c r="H2" s="2">
        <v>33</v>
      </c>
      <c r="I2" s="10">
        <v>300</v>
      </c>
      <c r="J2" s="11">
        <f>D2-10</f>
        <v>-9.9999999999999645E-2</v>
      </c>
      <c r="K2" s="12">
        <v>-1</v>
      </c>
      <c r="L2" s="2">
        <v>627.50120024107571</v>
      </c>
    </row>
    <row r="3" spans="1:12" x14ac:dyDescent="0.15">
      <c r="A3" s="4" t="s">
        <v>17</v>
      </c>
      <c r="B3" s="5">
        <v>1</v>
      </c>
      <c r="C3" s="4" t="s">
        <v>23</v>
      </c>
      <c r="D3" s="2">
        <v>16.5</v>
      </c>
      <c r="E3" s="2">
        <v>608.67385303682863</v>
      </c>
      <c r="F3" s="2">
        <v>0</v>
      </c>
      <c r="G3" s="2">
        <v>33</v>
      </c>
      <c r="H3" s="2">
        <v>33</v>
      </c>
      <c r="I3" s="10">
        <v>300</v>
      </c>
      <c r="J3" s="11">
        <f t="shared" ref="J3:J25" si="0">D3-10</f>
        <v>6.5</v>
      </c>
      <c r="K3" s="12">
        <v>-1</v>
      </c>
      <c r="L3" s="2">
        <v>608.67385303682863</v>
      </c>
    </row>
    <row r="4" spans="1:12" x14ac:dyDescent="0.15">
      <c r="A4" s="4" t="s">
        <v>17</v>
      </c>
      <c r="B4" s="5">
        <v>1</v>
      </c>
      <c r="C4" s="4" t="s">
        <v>24</v>
      </c>
      <c r="D4" s="2">
        <v>23.1</v>
      </c>
      <c r="E4" s="2">
        <v>592.2199724004571</v>
      </c>
      <c r="F4" s="2">
        <v>0</v>
      </c>
      <c r="G4" s="2">
        <v>33</v>
      </c>
      <c r="H4" s="2">
        <v>33</v>
      </c>
      <c r="I4" s="10">
        <v>300</v>
      </c>
      <c r="J4" s="11">
        <f t="shared" si="0"/>
        <v>13.100000000000001</v>
      </c>
      <c r="K4" s="12">
        <v>-1</v>
      </c>
      <c r="L4" s="2">
        <v>592.2199724004571</v>
      </c>
    </row>
    <row r="5" spans="1:12" x14ac:dyDescent="0.15">
      <c r="A5" s="4" t="s">
        <v>17</v>
      </c>
      <c r="B5" s="5">
        <v>2</v>
      </c>
      <c r="C5" s="4" t="s">
        <v>22</v>
      </c>
      <c r="D5" s="2">
        <v>42.9</v>
      </c>
      <c r="E5" s="2">
        <v>551.14358174232848</v>
      </c>
      <c r="F5" s="2">
        <v>33</v>
      </c>
      <c r="G5" s="2">
        <v>66</v>
      </c>
      <c r="H5" s="2">
        <v>33</v>
      </c>
      <c r="I5" s="10">
        <v>300</v>
      </c>
      <c r="J5" s="11">
        <f t="shared" si="0"/>
        <v>32.9</v>
      </c>
      <c r="K5" s="12">
        <v>-1</v>
      </c>
      <c r="L5" s="2">
        <v>551.14358174232848</v>
      </c>
    </row>
    <row r="6" spans="1:12" x14ac:dyDescent="0.15">
      <c r="A6" s="4" t="s">
        <v>17</v>
      </c>
      <c r="B6" s="5">
        <v>2</v>
      </c>
      <c r="C6" s="4" t="s">
        <v>23</v>
      </c>
      <c r="D6" s="2">
        <v>49.5</v>
      </c>
      <c r="E6" s="2">
        <v>539.93209921845994</v>
      </c>
      <c r="F6" s="2">
        <v>33</v>
      </c>
      <c r="G6" s="2">
        <v>66</v>
      </c>
      <c r="H6" s="2">
        <v>33</v>
      </c>
      <c r="I6" s="10">
        <v>300</v>
      </c>
      <c r="J6" s="11">
        <f t="shared" si="0"/>
        <v>39.5</v>
      </c>
      <c r="K6" s="12">
        <v>-1</v>
      </c>
      <c r="L6" s="2">
        <v>539.93209921845994</v>
      </c>
    </row>
    <row r="7" spans="1:12" x14ac:dyDescent="0.15">
      <c r="A7" s="4" t="s">
        <v>17</v>
      </c>
      <c r="B7" s="5">
        <v>2</v>
      </c>
      <c r="C7" s="4" t="s">
        <v>24</v>
      </c>
      <c r="D7" s="2">
        <v>56.1</v>
      </c>
      <c r="E7" s="2">
        <v>528.73296498012189</v>
      </c>
      <c r="F7" s="2">
        <v>33</v>
      </c>
      <c r="G7" s="2">
        <v>66</v>
      </c>
      <c r="H7" s="2">
        <v>33</v>
      </c>
      <c r="I7" s="10">
        <v>300</v>
      </c>
      <c r="J7" s="11">
        <f t="shared" si="0"/>
        <v>46.1</v>
      </c>
      <c r="K7" s="12">
        <v>-1</v>
      </c>
      <c r="L7" s="2">
        <v>528.73296498012189</v>
      </c>
    </row>
    <row r="8" spans="1:12" x14ac:dyDescent="0.15">
      <c r="A8" s="4" t="s">
        <v>17</v>
      </c>
      <c r="B8" s="5">
        <v>3</v>
      </c>
      <c r="C8" s="4" t="s">
        <v>22</v>
      </c>
      <c r="D8" s="2">
        <v>75.900000000000006</v>
      </c>
      <c r="E8" s="2">
        <v>503.38862702572328</v>
      </c>
      <c r="F8" s="2">
        <v>66</v>
      </c>
      <c r="G8" s="2">
        <v>99</v>
      </c>
      <c r="H8" s="2">
        <v>33</v>
      </c>
      <c r="I8" s="10">
        <v>300</v>
      </c>
      <c r="J8" s="11">
        <f t="shared" si="0"/>
        <v>65.900000000000006</v>
      </c>
      <c r="K8" s="12">
        <v>-1</v>
      </c>
      <c r="L8" s="2">
        <v>503.38862702572328</v>
      </c>
    </row>
    <row r="9" spans="1:12" x14ac:dyDescent="0.15">
      <c r="A9" s="4" t="s">
        <v>17</v>
      </c>
      <c r="B9" s="5">
        <v>3</v>
      </c>
      <c r="C9" s="4" t="s">
        <v>23</v>
      </c>
      <c r="D9" s="2">
        <v>82.5</v>
      </c>
      <c r="E9" s="2">
        <v>495.63211971106051</v>
      </c>
      <c r="F9" s="2">
        <v>66</v>
      </c>
      <c r="G9" s="2">
        <v>99</v>
      </c>
      <c r="H9" s="2">
        <v>33</v>
      </c>
      <c r="I9" s="10">
        <v>300</v>
      </c>
      <c r="J9" s="11">
        <f t="shared" si="0"/>
        <v>72.5</v>
      </c>
      <c r="K9" s="12">
        <v>-1</v>
      </c>
      <c r="L9" s="2">
        <v>495.63211971106051</v>
      </c>
    </row>
    <row r="10" spans="1:12" x14ac:dyDescent="0.15">
      <c r="A10" s="4" t="s">
        <v>17</v>
      </c>
      <c r="B10" s="5">
        <v>3</v>
      </c>
      <c r="C10" s="4" t="s">
        <v>24</v>
      </c>
      <c r="D10" s="2">
        <v>89.1</v>
      </c>
      <c r="E10" s="2">
        <v>489.04412684483452</v>
      </c>
      <c r="F10" s="2">
        <v>66</v>
      </c>
      <c r="G10" s="2">
        <v>99</v>
      </c>
      <c r="H10" s="2">
        <v>33</v>
      </c>
      <c r="I10" s="10">
        <v>300</v>
      </c>
      <c r="J10" s="11">
        <f t="shared" si="0"/>
        <v>79.099999999999994</v>
      </c>
      <c r="K10" s="12">
        <v>-1</v>
      </c>
      <c r="L10" s="2">
        <v>489.04412684483452</v>
      </c>
    </row>
    <row r="11" spans="1:12" x14ac:dyDescent="0.15">
      <c r="A11" s="4" t="s">
        <v>17</v>
      </c>
      <c r="B11" s="5">
        <v>4</v>
      </c>
      <c r="C11" s="4" t="s">
        <v>22</v>
      </c>
      <c r="D11" s="2">
        <v>108.9</v>
      </c>
      <c r="E11" s="2">
        <v>472.53129503461491</v>
      </c>
      <c r="F11" s="2">
        <v>99</v>
      </c>
      <c r="G11" s="2">
        <v>132</v>
      </c>
      <c r="H11" s="2">
        <v>33</v>
      </c>
      <c r="I11" s="10">
        <v>300</v>
      </c>
      <c r="J11" s="11">
        <f t="shared" si="0"/>
        <v>98.9</v>
      </c>
      <c r="K11" s="12">
        <v>-1</v>
      </c>
      <c r="L11" s="2">
        <v>472.53129503461491</v>
      </c>
    </row>
    <row r="12" spans="1:12" x14ac:dyDescent="0.15">
      <c r="A12" s="4" t="s">
        <v>17</v>
      </c>
      <c r="B12" s="5">
        <v>4</v>
      </c>
      <c r="C12" s="4" t="s">
        <v>23</v>
      </c>
      <c r="D12" s="2">
        <v>115.5</v>
      </c>
      <c r="E12" s="2">
        <v>468.16002927740539</v>
      </c>
      <c r="F12" s="2">
        <v>99</v>
      </c>
      <c r="G12" s="2">
        <v>132</v>
      </c>
      <c r="H12" s="2">
        <v>33</v>
      </c>
      <c r="I12" s="10">
        <v>300</v>
      </c>
      <c r="J12" s="11">
        <f t="shared" si="0"/>
        <v>105.5</v>
      </c>
      <c r="K12" s="12">
        <v>-1</v>
      </c>
      <c r="L12" s="2">
        <v>468.16002927740539</v>
      </c>
    </row>
    <row r="13" spans="1:12" x14ac:dyDescent="0.15">
      <c r="A13" s="4" t="s">
        <v>17</v>
      </c>
      <c r="B13" s="5">
        <v>4</v>
      </c>
      <c r="C13" s="4" t="s">
        <v>24</v>
      </c>
      <c r="D13" s="2">
        <v>122.1</v>
      </c>
      <c r="E13" s="2">
        <v>464.07665420759707</v>
      </c>
      <c r="F13" s="2">
        <v>99</v>
      </c>
      <c r="G13" s="2">
        <v>132</v>
      </c>
      <c r="H13" s="2">
        <v>33</v>
      </c>
      <c r="I13" s="10">
        <v>300</v>
      </c>
      <c r="J13" s="11">
        <f t="shared" si="0"/>
        <v>112.1</v>
      </c>
      <c r="K13" s="12">
        <v>-1</v>
      </c>
      <c r="L13" s="2">
        <v>464.07665420759707</v>
      </c>
    </row>
    <row r="14" spans="1:12" x14ac:dyDescent="0.15">
      <c r="A14" s="4" t="s">
        <v>17</v>
      </c>
      <c r="B14" s="5">
        <v>5</v>
      </c>
      <c r="C14" s="4" t="s">
        <v>22</v>
      </c>
      <c r="D14" s="2">
        <v>151.80000000000001</v>
      </c>
      <c r="E14" s="2">
        <v>452.04688389973251</v>
      </c>
      <c r="F14" s="2">
        <v>132</v>
      </c>
      <c r="G14" s="2">
        <v>198</v>
      </c>
      <c r="H14" s="2">
        <v>66</v>
      </c>
      <c r="I14" s="10">
        <v>300</v>
      </c>
      <c r="J14" s="11">
        <f t="shared" si="0"/>
        <v>141.80000000000001</v>
      </c>
      <c r="K14" s="12">
        <v>-1</v>
      </c>
      <c r="L14" s="2">
        <v>452.04688389973251</v>
      </c>
    </row>
    <row r="15" spans="1:12" x14ac:dyDescent="0.15">
      <c r="A15" s="4" t="s">
        <v>17</v>
      </c>
      <c r="B15" s="5">
        <v>5</v>
      </c>
      <c r="C15" s="4" t="s">
        <v>23</v>
      </c>
      <c r="D15" s="2">
        <v>165</v>
      </c>
      <c r="E15" s="2">
        <v>446.37438478963782</v>
      </c>
      <c r="F15" s="2">
        <v>132</v>
      </c>
      <c r="G15" s="2">
        <v>198</v>
      </c>
      <c r="H15" s="2">
        <v>66</v>
      </c>
      <c r="I15" s="10">
        <v>300</v>
      </c>
      <c r="J15" s="11">
        <f t="shared" si="0"/>
        <v>155</v>
      </c>
      <c r="K15" s="12">
        <v>-1</v>
      </c>
      <c r="L15" s="2">
        <v>446.37438478963782</v>
      </c>
    </row>
    <row r="16" spans="1:12" x14ac:dyDescent="0.15">
      <c r="A16" s="4" t="s">
        <v>17</v>
      </c>
      <c r="B16" s="5">
        <v>5</v>
      </c>
      <c r="C16" s="4" t="s">
        <v>24</v>
      </c>
      <c r="D16" s="2">
        <v>178.2</v>
      </c>
      <c r="E16" s="2">
        <v>440.84510058277988</v>
      </c>
      <c r="F16" s="2">
        <v>132</v>
      </c>
      <c r="G16" s="2">
        <v>198</v>
      </c>
      <c r="H16" s="2">
        <v>66</v>
      </c>
      <c r="I16" s="10">
        <v>300</v>
      </c>
      <c r="J16" s="11">
        <f t="shared" si="0"/>
        <v>168.2</v>
      </c>
      <c r="K16" s="12">
        <v>-1</v>
      </c>
      <c r="L16" s="2">
        <v>440.84510058277988</v>
      </c>
    </row>
    <row r="17" spans="1:12" x14ac:dyDescent="0.15">
      <c r="A17" s="4" t="s">
        <v>17</v>
      </c>
      <c r="B17" s="5">
        <v>6</v>
      </c>
      <c r="C17" s="4" t="s">
        <v>22</v>
      </c>
      <c r="D17" s="2">
        <v>227.7</v>
      </c>
      <c r="E17" s="2">
        <v>424.07407858117318</v>
      </c>
      <c r="F17" s="2">
        <v>198</v>
      </c>
      <c r="G17" s="2">
        <v>297</v>
      </c>
      <c r="H17" s="2">
        <v>99</v>
      </c>
      <c r="I17" s="10">
        <v>300</v>
      </c>
      <c r="J17" s="11">
        <f t="shared" si="0"/>
        <v>217.7</v>
      </c>
      <c r="K17" s="12">
        <v>-1</v>
      </c>
      <c r="L17" s="2">
        <v>424.07407858117318</v>
      </c>
    </row>
    <row r="18" spans="1:12" x14ac:dyDescent="0.15">
      <c r="A18" s="4" t="s">
        <v>17</v>
      </c>
      <c r="B18" s="5">
        <v>6</v>
      </c>
      <c r="C18" s="4" t="s">
        <v>23</v>
      </c>
      <c r="D18" s="2">
        <v>247.5</v>
      </c>
      <c r="E18" s="2">
        <v>416.65869941838878</v>
      </c>
      <c r="F18" s="2">
        <v>198</v>
      </c>
      <c r="G18" s="2">
        <v>297</v>
      </c>
      <c r="H18" s="2">
        <v>99</v>
      </c>
      <c r="I18" s="10">
        <v>300</v>
      </c>
      <c r="J18" s="11">
        <f t="shared" si="0"/>
        <v>237.5</v>
      </c>
      <c r="K18" s="12">
        <v>-1</v>
      </c>
      <c r="L18" s="2">
        <v>416.65869941838878</v>
      </c>
    </row>
    <row r="19" spans="1:12" x14ac:dyDescent="0.15">
      <c r="A19" s="4" t="s">
        <v>17</v>
      </c>
      <c r="B19" s="5">
        <v>6</v>
      </c>
      <c r="C19" s="4" t="s">
        <v>24</v>
      </c>
      <c r="D19" s="2">
        <v>267.3</v>
      </c>
      <c r="E19" s="2">
        <v>410.03093057789869</v>
      </c>
      <c r="F19" s="2">
        <v>198</v>
      </c>
      <c r="G19" s="2">
        <v>297</v>
      </c>
      <c r="H19" s="2">
        <v>99</v>
      </c>
      <c r="I19" s="10">
        <v>300</v>
      </c>
      <c r="J19" s="11">
        <f t="shared" si="0"/>
        <v>257.3</v>
      </c>
      <c r="K19" s="12">
        <v>-1</v>
      </c>
      <c r="L19" s="2">
        <v>410.03093057789869</v>
      </c>
    </row>
    <row r="20" spans="1:12" x14ac:dyDescent="0.15">
      <c r="A20" s="4" t="s">
        <v>17</v>
      </c>
      <c r="B20" s="5">
        <v>7</v>
      </c>
      <c r="C20" s="4" t="s">
        <v>22</v>
      </c>
      <c r="D20" s="2">
        <v>326.7</v>
      </c>
      <c r="E20" s="2">
        <v>387.10314305398981</v>
      </c>
      <c r="F20" s="2">
        <v>297</v>
      </c>
      <c r="G20" s="2">
        <v>396</v>
      </c>
      <c r="H20" s="2">
        <v>99</v>
      </c>
      <c r="I20" s="10">
        <v>300</v>
      </c>
      <c r="J20" s="11">
        <f t="shared" si="0"/>
        <v>316.7</v>
      </c>
      <c r="K20" s="12">
        <v>-1</v>
      </c>
      <c r="L20" s="2">
        <v>387.10314305398981</v>
      </c>
    </row>
    <row r="21" spans="1:12" x14ac:dyDescent="0.15">
      <c r="A21" s="4" t="s">
        <v>17</v>
      </c>
      <c r="B21" s="5">
        <v>7</v>
      </c>
      <c r="C21" s="4" t="s">
        <v>23</v>
      </c>
      <c r="D21" s="2">
        <v>346.5</v>
      </c>
      <c r="E21" s="2">
        <v>379.08922857732807</v>
      </c>
      <c r="F21" s="2">
        <v>297</v>
      </c>
      <c r="G21" s="2">
        <v>396</v>
      </c>
      <c r="H21" s="2">
        <v>99</v>
      </c>
      <c r="I21" s="10">
        <v>300</v>
      </c>
      <c r="J21" s="11">
        <f t="shared" si="0"/>
        <v>336.5</v>
      </c>
      <c r="K21" s="12">
        <v>-1</v>
      </c>
      <c r="L21" s="2">
        <v>379.08922857732807</v>
      </c>
    </row>
    <row r="22" spans="1:12" x14ac:dyDescent="0.15">
      <c r="A22" s="4" t="s">
        <v>17</v>
      </c>
      <c r="B22" s="5">
        <v>7</v>
      </c>
      <c r="C22" s="4" t="s">
        <v>24</v>
      </c>
      <c r="D22" s="2">
        <v>366.3</v>
      </c>
      <c r="E22" s="2">
        <v>373.16969226490528</v>
      </c>
      <c r="F22" s="2">
        <v>297</v>
      </c>
      <c r="G22" s="2">
        <v>396</v>
      </c>
      <c r="H22" s="2">
        <v>99</v>
      </c>
      <c r="I22" s="10">
        <v>300</v>
      </c>
      <c r="J22" s="11">
        <f t="shared" si="0"/>
        <v>356.3</v>
      </c>
      <c r="K22" s="12">
        <v>-1</v>
      </c>
      <c r="L22" s="2">
        <v>373.16969226490528</v>
      </c>
    </row>
    <row r="23" spans="1:12" x14ac:dyDescent="0.15">
      <c r="A23" s="4" t="s">
        <v>17</v>
      </c>
      <c r="B23" s="5">
        <v>8</v>
      </c>
      <c r="C23" s="4" t="s">
        <v>22</v>
      </c>
      <c r="D23" s="2">
        <v>427.2</v>
      </c>
      <c r="E23" s="2">
        <v>356.58321307011568</v>
      </c>
      <c r="F23" s="2">
        <v>396</v>
      </c>
      <c r="G23" s="2">
        <v>500</v>
      </c>
      <c r="H23" s="2">
        <v>104</v>
      </c>
      <c r="I23" s="10">
        <v>300</v>
      </c>
      <c r="J23" s="11">
        <f t="shared" si="0"/>
        <v>417.2</v>
      </c>
      <c r="K23" s="12">
        <v>-1</v>
      </c>
      <c r="L23" s="2">
        <v>356.58321307011568</v>
      </c>
    </row>
    <row r="24" spans="1:12" x14ac:dyDescent="0.15">
      <c r="A24" s="4" t="s">
        <v>17</v>
      </c>
      <c r="B24" s="5">
        <v>8</v>
      </c>
      <c r="C24" s="4" t="s">
        <v>23</v>
      </c>
      <c r="D24" s="2">
        <v>448</v>
      </c>
      <c r="E24" s="2">
        <v>350.88130859106531</v>
      </c>
      <c r="F24" s="2">
        <v>396</v>
      </c>
      <c r="G24" s="2">
        <v>500</v>
      </c>
      <c r="H24" s="2">
        <v>104</v>
      </c>
      <c r="I24" s="10">
        <v>300</v>
      </c>
      <c r="J24" s="11">
        <f t="shared" si="0"/>
        <v>438</v>
      </c>
      <c r="K24" s="12">
        <v>-1</v>
      </c>
      <c r="L24" s="2">
        <v>350.88130859106531</v>
      </c>
    </row>
    <row r="25" spans="1:12" x14ac:dyDescent="0.15">
      <c r="A25" s="4" t="s">
        <v>17</v>
      </c>
      <c r="B25" s="5">
        <v>8</v>
      </c>
      <c r="C25" s="4" t="s">
        <v>24</v>
      </c>
      <c r="D25" s="2">
        <v>468.8</v>
      </c>
      <c r="E25" s="2">
        <v>347.23343222760587</v>
      </c>
      <c r="F25" s="2">
        <v>396</v>
      </c>
      <c r="G25" s="2">
        <v>500</v>
      </c>
      <c r="H25" s="2">
        <v>104</v>
      </c>
      <c r="I25" s="10">
        <v>300</v>
      </c>
      <c r="J25" s="11">
        <f t="shared" si="0"/>
        <v>458.8</v>
      </c>
      <c r="K25" s="12">
        <v>-1</v>
      </c>
      <c r="L25" s="2">
        <v>347.23343222760587</v>
      </c>
    </row>
  </sheetData>
  <autoFilter ref="A1:H25" xr:uid="{00000000-0009-0000-0000-000004000000}"/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0" customWidth="1"/>
    <col min="2" max="3" width="21" customWidth="1"/>
    <col min="4" max="4" width="9" customWidth="1"/>
    <col min="5" max="5" width="10" customWidth="1"/>
    <col min="6" max="7" width="22" customWidth="1"/>
    <col min="8" max="8" width="8" customWidth="1"/>
    <col min="9" max="10" width="11" customWidth="1"/>
    <col min="11" max="11" width="9" customWidth="1"/>
  </cols>
  <sheetData>
    <row r="1" spans="1:11" x14ac:dyDescent="0.15">
      <c r="A1" s="1" t="s">
        <v>2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</row>
    <row r="2" spans="1:11" x14ac:dyDescent="0.15">
      <c r="A2" s="6" t="s">
        <v>16</v>
      </c>
      <c r="B2" s="7">
        <v>902.11362337025162</v>
      </c>
      <c r="C2" s="7">
        <v>34.009649654091888</v>
      </c>
      <c r="D2" s="7">
        <v>1</v>
      </c>
      <c r="E2" s="7">
        <v>26.5</v>
      </c>
      <c r="F2" s="7">
        <v>1</v>
      </c>
      <c r="G2" s="7">
        <v>0.39184345941907273</v>
      </c>
      <c r="H2" s="7">
        <v>24</v>
      </c>
      <c r="I2" s="7">
        <v>712</v>
      </c>
      <c r="J2" s="7">
        <v>552</v>
      </c>
      <c r="K2" s="7">
        <v>160</v>
      </c>
    </row>
    <row r="3" spans="1:11" x14ac:dyDescent="0.15">
      <c r="A3" s="6" t="s">
        <v>17</v>
      </c>
      <c r="B3" s="7">
        <v>405.76012380557211</v>
      </c>
      <c r="C3" s="7">
        <v>37.900771169553117</v>
      </c>
      <c r="D3" s="7">
        <v>1</v>
      </c>
      <c r="E3" s="7">
        <v>22.375</v>
      </c>
      <c r="F3" s="7">
        <v>0.66571010584188206</v>
      </c>
      <c r="G3" s="7">
        <v>0.42346580995840388</v>
      </c>
      <c r="H3" s="7">
        <v>23</v>
      </c>
      <c r="I3" s="7">
        <v>679</v>
      </c>
      <c r="J3" s="7">
        <v>529</v>
      </c>
      <c r="K3" s="7">
        <v>150</v>
      </c>
    </row>
  </sheetData>
  <autoFilter ref="A1:K3" xr:uid="{00000000-0009-0000-0000-000005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原始数据</vt:lpstr>
      <vt:lpstr>等距分区结果</vt:lpstr>
      <vt:lpstr>模块对齐分区结果</vt:lpstr>
      <vt:lpstr>等距分区三点</vt:lpstr>
      <vt:lpstr>模块对齐分区三点</vt:lpstr>
      <vt:lpstr>评价指标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Yanjie Li</cp:lastModifiedBy>
  <dcterms:created xsi:type="dcterms:W3CDTF">2026-04-23T11:23:22Z</dcterms:created>
  <dcterms:modified xsi:type="dcterms:W3CDTF">2026-04-28T15:32:03Z</dcterms:modified>
</cp:coreProperties>
</file>